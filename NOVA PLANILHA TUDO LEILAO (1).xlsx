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thaynnerribeiro/Documents/Leilão/"/>
    </mc:Choice>
  </mc:AlternateContent>
  <xr:revisionPtr revIDLastSave="0" documentId="13_ncr:1_{3E45350C-6A59-C243-B5A1-565F717C8A30}" xr6:coauthVersionLast="47" xr6:coauthVersionMax="47" xr10:uidLastSave="{00000000-0000-0000-0000-000000000000}"/>
  <bookViews>
    <workbookView xWindow="0" yWindow="0" windowWidth="28800" windowHeight="18000" xr2:uid="{5B992809-26F1-4319-9D87-499382825125}"/>
  </bookViews>
  <sheets>
    <sheet name="Gabari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" i="1" l="1"/>
  <c r="N39" i="1"/>
  <c r="N37" i="1" l="1"/>
  <c r="N43" i="1" s="1"/>
  <c r="Q46" i="1" s="1"/>
  <c r="V10" i="1"/>
  <c r="V9" i="1"/>
  <c r="V8" i="1"/>
  <c r="T11" i="1"/>
  <c r="T8" i="1" s="1"/>
  <c r="N26" i="1"/>
  <c r="N38" i="1" s="1"/>
  <c r="U11" i="1"/>
  <c r="N42" i="1" l="1"/>
  <c r="Q47" i="1" s="1"/>
  <c r="Q48" i="1" s="1"/>
  <c r="Q49" i="1" s="1"/>
  <c r="T9" i="1"/>
  <c r="T10" i="1"/>
  <c r="W8" i="1"/>
  <c r="X8" i="1" s="1"/>
  <c r="Y12" i="1"/>
  <c r="T41" i="1" l="1"/>
  <c r="T47" i="1" s="1"/>
  <c r="T24" i="1"/>
  <c r="Q24" i="1"/>
  <c r="T42" i="1" s="1"/>
  <c r="U47" i="1" s="1"/>
  <c r="AA17" i="1"/>
  <c r="T14" i="1"/>
  <c r="AA14" i="1" s="1"/>
  <c r="T43" i="1"/>
  <c r="T46" i="1" s="1"/>
  <c r="T21" i="1" l="1"/>
  <c r="T23" i="1" s="1"/>
  <c r="U46" i="1"/>
  <c r="T33" i="1"/>
  <c r="T32" i="1"/>
  <c r="AA22" i="1"/>
  <c r="T34" i="1"/>
  <c r="Y13" i="1" l="1"/>
  <c r="U21" i="1"/>
  <c r="Y14" i="1"/>
  <c r="Y15" i="1"/>
  <c r="T35" i="1"/>
</calcChain>
</file>

<file path=xl/sharedStrings.xml><?xml version="1.0" encoding="utf-8"?>
<sst xmlns="http://schemas.openxmlformats.org/spreadsheetml/2006/main" count="77" uniqueCount="60">
  <si>
    <t>Total</t>
  </si>
  <si>
    <t>Venda</t>
  </si>
  <si>
    <t>Complemento</t>
  </si>
  <si>
    <t>Nome</t>
  </si>
  <si>
    <t>Vendedor</t>
  </si>
  <si>
    <t>Bruno Nogueira</t>
  </si>
  <si>
    <t>Nível</t>
  </si>
  <si>
    <t>Faixa</t>
  </si>
  <si>
    <t>%</t>
  </si>
  <si>
    <t>Marcador</t>
  </si>
  <si>
    <t>Valor</t>
  </si>
  <si>
    <t>VALE A COMPRA</t>
  </si>
  <si>
    <t>VERIFICAR</t>
  </si>
  <si>
    <t>NÃO VALE A COMPRA</t>
  </si>
  <si>
    <t>TOTAL</t>
  </si>
  <si>
    <t>FINANCIAMENTO</t>
  </si>
  <si>
    <t>PEQUENA MONTA</t>
  </si>
  <si>
    <t>MEDIA MONTA</t>
  </si>
  <si>
    <t>OUTROS</t>
  </si>
  <si>
    <t>IPVA</t>
  </si>
  <si>
    <t>MÃO DE OBRA</t>
  </si>
  <si>
    <t>DATA</t>
  </si>
  <si>
    <t>ENCARGOS LEILÃO</t>
  </si>
  <si>
    <t>LEILÃO</t>
  </si>
  <si>
    <t>DOCUMENTAÇAO</t>
  </si>
  <si>
    <t>DESCRIÇÃO</t>
  </si>
  <si>
    <t>FRETE</t>
  </si>
  <si>
    <t>LOTE</t>
  </si>
  <si>
    <t>MONTA</t>
  </si>
  <si>
    <t xml:space="preserve">ANO </t>
  </si>
  <si>
    <t>KM</t>
  </si>
  <si>
    <t>CUSTOS</t>
  </si>
  <si>
    <t>% LEILOEIRO</t>
  </si>
  <si>
    <t>PREÇO MERCADO</t>
  </si>
  <si>
    <t>PREÇO MARTELO</t>
  </si>
  <si>
    <t>CUSTO FINAL</t>
  </si>
  <si>
    <t>VENDA IDEAL</t>
  </si>
  <si>
    <t>VALOR FINANC</t>
  </si>
  <si>
    <t>SELIC</t>
  </si>
  <si>
    <t>MESES ESTIMADOS</t>
  </si>
  <si>
    <t>MENSAL</t>
  </si>
  <si>
    <t>INICIAL</t>
  </si>
  <si>
    <t>OPERAÇÃO</t>
  </si>
  <si>
    <t>MENSAL SELIC</t>
  </si>
  <si>
    <t>MENSAL OPERAÇÃO</t>
  </si>
  <si>
    <t>LEGENDA</t>
  </si>
  <si>
    <t>CÁLCULO DE VIABILIDADE</t>
  </si>
  <si>
    <t>VIP LEILOES</t>
  </si>
  <si>
    <t>2020/2020</t>
  </si>
  <si>
    <t>GM ONIX LTZ</t>
  </si>
  <si>
    <t>VENDA</t>
  </si>
  <si>
    <t>CUSTO</t>
  </si>
  <si>
    <t>PREENCHA SOMENTE OS CAMPOS  EM AZUL</t>
  </si>
  <si>
    <t>COMPARATIVO OPERAÇÃO VC SELIC</t>
  </si>
  <si>
    <t>META</t>
  </si>
  <si>
    <t>ATINGIDO</t>
  </si>
  <si>
    <t>RESTANTE</t>
  </si>
  <si>
    <t>% ATINGIDO</t>
  </si>
  <si>
    <t>GG</t>
  </si>
  <si>
    <t>GANHOS/PERDAS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</si>
</sst>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"/>
    <numFmt numFmtId="166" formatCode="#,##0_ ;\-#,##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u/>
      <sz val="11"/>
      <color theme="0"/>
      <name val="Calibri"/>
      <family val="2"/>
      <scheme val="minor"/>
    </font>
    <font>
      <b/>
      <i/>
      <u/>
      <sz val="12"/>
      <color theme="0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4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2" fillId="3" borderId="0" xfId="0" applyFont="1" applyFill="1" applyProtection="1">
      <protection hidden="1"/>
    </xf>
    <xf numFmtId="0" fontId="2" fillId="3" borderId="0" xfId="0" applyFont="1" applyFill="1" applyAlignment="1" applyProtection="1">
      <alignment horizontal="center"/>
      <protection hidden="1"/>
    </xf>
    <xf numFmtId="44" fontId="2" fillId="3" borderId="0" xfId="3" applyFont="1" applyFill="1" applyProtection="1">
      <protection hidden="1"/>
    </xf>
    <xf numFmtId="0" fontId="2" fillId="3" borderId="0" xfId="0" applyFont="1" applyFill="1" applyAlignment="1" applyProtection="1">
      <alignment horizontal="left"/>
      <protection hidden="1"/>
    </xf>
    <xf numFmtId="44" fontId="2" fillId="3" borderId="0" xfId="0" applyNumberFormat="1" applyFont="1" applyFill="1" applyProtection="1">
      <protection hidden="1"/>
    </xf>
    <xf numFmtId="0" fontId="3" fillId="3" borderId="0" xfId="0" applyFont="1" applyFill="1" applyAlignment="1" applyProtection="1">
      <alignment horizontal="left"/>
      <protection hidden="1"/>
    </xf>
    <xf numFmtId="165" fontId="2" fillId="3" borderId="0" xfId="1" applyNumberFormat="1" applyFont="1" applyFill="1" applyAlignment="1" applyProtection="1">
      <alignment horizontal="left"/>
      <protection hidden="1"/>
    </xf>
    <xf numFmtId="9" fontId="2" fillId="3" borderId="0" xfId="0" applyNumberFormat="1" applyFont="1" applyFill="1" applyAlignment="1" applyProtection="1">
      <alignment horizontal="left"/>
      <protection hidden="1"/>
    </xf>
    <xf numFmtId="0" fontId="2" fillId="3" borderId="0" xfId="0" applyFont="1" applyFill="1" applyProtection="1">
      <protection locked="0" hidden="1"/>
    </xf>
    <xf numFmtId="0" fontId="2" fillId="3" borderId="0" xfId="0" applyFont="1" applyFill="1" applyAlignment="1" applyProtection="1">
      <alignment horizontal="center"/>
      <protection locked="0" hidden="1"/>
    </xf>
    <xf numFmtId="0" fontId="4" fillId="3" borderId="0" xfId="0" applyFont="1" applyFill="1" applyAlignment="1" applyProtection="1">
      <alignment horizontal="center"/>
      <protection locked="0" hidden="1"/>
    </xf>
    <xf numFmtId="164" fontId="2" fillId="3" borderId="0" xfId="1" applyNumberFormat="1" applyFont="1" applyFill="1" applyAlignment="1" applyProtection="1">
      <alignment horizontal="left"/>
      <protection hidden="1"/>
    </xf>
    <xf numFmtId="165" fontId="2" fillId="3" borderId="0" xfId="0" applyNumberFormat="1" applyFont="1" applyFill="1" applyAlignment="1" applyProtection="1">
      <alignment horizontal="left"/>
      <protection hidden="1"/>
    </xf>
    <xf numFmtId="44" fontId="2" fillId="3" borderId="0" xfId="0" applyNumberFormat="1" applyFont="1" applyFill="1" applyProtection="1">
      <protection locked="0" hidden="1"/>
    </xf>
    <xf numFmtId="10" fontId="2" fillId="3" borderId="0" xfId="2" applyNumberFormat="1" applyFont="1" applyFill="1" applyAlignment="1" applyProtection="1">
      <alignment horizontal="left"/>
      <protection hidden="1"/>
    </xf>
    <xf numFmtId="166" fontId="2" fillId="3" borderId="0" xfId="1" applyNumberFormat="1" applyFont="1" applyFill="1" applyAlignment="1" applyProtection="1">
      <alignment horizontal="left"/>
      <protection hidden="1"/>
    </xf>
    <xf numFmtId="44" fontId="2" fillId="3" borderId="0" xfId="0" applyNumberFormat="1" applyFont="1" applyFill="1" applyAlignment="1" applyProtection="1">
      <alignment horizontal="left"/>
      <protection hidden="1"/>
    </xf>
    <xf numFmtId="10" fontId="2" fillId="3" borderId="0" xfId="2" applyNumberFormat="1" applyFont="1" applyFill="1" applyProtection="1">
      <protection hidden="1"/>
    </xf>
    <xf numFmtId="44" fontId="2" fillId="3" borderId="0" xfId="0" applyNumberFormat="1" applyFont="1" applyFill="1" applyAlignment="1" applyProtection="1">
      <alignment horizontal="center"/>
      <protection locked="0" hidden="1"/>
    </xf>
    <xf numFmtId="44" fontId="2" fillId="3" borderId="0" xfId="3" applyFont="1" applyFill="1" applyBorder="1" applyAlignment="1" applyProtection="1">
      <alignment horizontal="center"/>
      <protection locked="0" hidden="1"/>
    </xf>
    <xf numFmtId="10" fontId="2" fillId="3" borderId="0" xfId="2" applyNumberFormat="1" applyFont="1" applyFill="1" applyBorder="1" applyAlignment="1" applyProtection="1">
      <alignment horizontal="center"/>
      <protection locked="0" hidden="1"/>
    </xf>
    <xf numFmtId="44" fontId="2" fillId="3" borderId="0" xfId="3" applyFont="1" applyFill="1" applyBorder="1" applyProtection="1">
      <protection hidden="1"/>
    </xf>
    <xf numFmtId="10" fontId="2" fillId="3" borderId="0" xfId="0" applyNumberFormat="1" applyFont="1" applyFill="1" applyAlignment="1" applyProtection="1">
      <alignment horizontal="center"/>
      <protection locked="0" hidden="1"/>
    </xf>
    <xf numFmtId="0" fontId="2" fillId="3" borderId="0" xfId="0" applyFont="1" applyFill="1" applyAlignment="1" applyProtection="1">
      <alignment horizontal="right"/>
      <protection locked="0" hidden="1"/>
    </xf>
    <xf numFmtId="44" fontId="2" fillId="3" borderId="0" xfId="2" applyNumberFormat="1" applyFont="1" applyFill="1" applyBorder="1" applyAlignment="1" applyProtection="1">
      <alignment horizontal="center"/>
      <protection locked="0" hidden="1"/>
    </xf>
    <xf numFmtId="0" fontId="5" fillId="3" borderId="1" xfId="0" applyFont="1" applyFill="1" applyBorder="1" applyAlignment="1" applyProtection="1">
      <alignment horizontal="center"/>
      <protection locked="0" hidden="1"/>
    </xf>
    <xf numFmtId="10" fontId="5" fillId="3" borderId="2" xfId="2" applyNumberFormat="1" applyFont="1" applyFill="1" applyBorder="1" applyAlignment="1" applyProtection="1">
      <alignment horizontal="center"/>
      <protection locked="0" hidden="1"/>
    </xf>
    <xf numFmtId="9" fontId="2" fillId="3" borderId="0" xfId="0" applyNumberFormat="1" applyFont="1" applyFill="1" applyProtection="1">
      <protection hidden="1"/>
    </xf>
    <xf numFmtId="0" fontId="3" fillId="3" borderId="0" xfId="0" applyFont="1" applyFill="1" applyAlignment="1" applyProtection="1">
      <alignment horizontal="center"/>
      <protection hidden="1"/>
    </xf>
    <xf numFmtId="0" fontId="7" fillId="3" borderId="0" xfId="0" applyFont="1" applyFill="1" applyProtection="1">
      <protection locked="0" hidden="1"/>
    </xf>
    <xf numFmtId="0" fontId="7" fillId="3" borderId="0" xfId="0" applyFont="1" applyFill="1" applyAlignment="1" applyProtection="1">
      <alignment horizontal="left"/>
      <protection hidden="1"/>
    </xf>
    <xf numFmtId="166" fontId="7" fillId="3" borderId="0" xfId="0" applyNumberFormat="1" applyFont="1" applyFill="1" applyAlignment="1" applyProtection="1">
      <alignment horizontal="left"/>
      <protection hidden="1"/>
    </xf>
    <xf numFmtId="44" fontId="7" fillId="3" borderId="0" xfId="0" applyNumberFormat="1" applyFont="1" applyFill="1" applyProtection="1">
      <protection locked="0" hidden="1"/>
    </xf>
    <xf numFmtId="44" fontId="7" fillId="3" borderId="0" xfId="0" applyNumberFormat="1" applyFont="1" applyFill="1" applyAlignment="1" applyProtection="1">
      <alignment horizontal="left"/>
      <protection hidden="1"/>
    </xf>
    <xf numFmtId="0" fontId="7" fillId="3" borderId="0" xfId="0" applyFont="1" applyFill="1" applyAlignment="1" applyProtection="1">
      <alignment horizontal="center"/>
      <protection locked="0" hidden="1"/>
    </xf>
    <xf numFmtId="165" fontId="2" fillId="3" borderId="0" xfId="0" applyNumberFormat="1" applyFont="1" applyFill="1" applyProtection="1">
      <protection hidden="1"/>
    </xf>
    <xf numFmtId="9" fontId="2" fillId="3" borderId="0" xfId="2" applyFont="1" applyFill="1" applyProtection="1">
      <protection hidden="1"/>
    </xf>
    <xf numFmtId="0" fontId="8" fillId="2" borderId="4" xfId="0" applyFont="1" applyFill="1" applyBorder="1" applyAlignment="1" applyProtection="1">
      <alignment horizontal="center"/>
      <protection locked="0" hidden="1"/>
    </xf>
    <xf numFmtId="14" fontId="2" fillId="2" borderId="5" xfId="0" applyNumberFormat="1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44" fontId="2" fillId="2" borderId="6" xfId="3" applyFont="1" applyFill="1" applyBorder="1" applyProtection="1">
      <protection locked="0" hidden="1"/>
    </xf>
    <xf numFmtId="44" fontId="2" fillId="2" borderId="7" xfId="3" applyFont="1" applyFill="1" applyBorder="1" applyProtection="1">
      <protection locked="0" hidden="1"/>
    </xf>
    <xf numFmtId="44" fontId="2" fillId="2" borderId="5" xfId="3" applyFont="1" applyFill="1" applyBorder="1" applyAlignment="1" applyProtection="1">
      <alignment horizontal="center"/>
      <protection locked="0" hidden="1"/>
    </xf>
    <xf numFmtId="10" fontId="2" fillId="2" borderId="5" xfId="0" applyNumberFormat="1" applyFont="1" applyFill="1" applyBorder="1" applyAlignment="1" applyProtection="1">
      <alignment horizontal="center"/>
      <protection locked="0" hidden="1"/>
    </xf>
    <xf numFmtId="0" fontId="2" fillId="2" borderId="7" xfId="0" applyFont="1" applyFill="1" applyBorder="1" applyAlignment="1" applyProtection="1">
      <alignment horizontal="center"/>
      <protection locked="0" hidden="1"/>
    </xf>
    <xf numFmtId="0" fontId="9" fillId="3" borderId="4" xfId="0" applyFont="1" applyFill="1" applyBorder="1" applyProtection="1">
      <protection hidden="1"/>
    </xf>
    <xf numFmtId="44" fontId="2" fillId="3" borderId="0" xfId="3" applyFont="1" applyFill="1" applyAlignment="1" applyProtection="1">
      <alignment horizontal="center"/>
      <protection hidden="1"/>
    </xf>
    <xf numFmtId="44" fontId="2" fillId="3" borderId="0" xfId="3" applyFont="1" applyFill="1" applyAlignment="1" applyProtection="1">
      <alignment horizontal="left"/>
      <protection hidden="1"/>
    </xf>
    <xf numFmtId="44" fontId="10" fillId="2" borderId="7" xfId="3" applyFont="1" applyFill="1" applyBorder="1" applyAlignment="1" applyProtection="1">
      <alignment horizontal="center"/>
      <protection locked="0" hidden="1"/>
    </xf>
    <xf numFmtId="44" fontId="2" fillId="3" borderId="0" xfId="3" applyFont="1" applyFill="1" applyBorder="1" applyAlignment="1" applyProtection="1">
      <alignment horizontal="left"/>
      <protection locked="0" hidden="1"/>
    </xf>
    <xf numFmtId="0" fontId="2" fillId="3" borderId="1" xfId="0" applyFont="1" applyFill="1" applyBorder="1" applyAlignment="1" applyProtection="1">
      <alignment horizontal="center"/>
      <protection locked="0" hidden="1"/>
    </xf>
    <xf numFmtId="0" fontId="2" fillId="3" borderId="3" xfId="0" applyFont="1" applyFill="1" applyBorder="1" applyAlignment="1" applyProtection="1">
      <alignment horizontal="center"/>
      <protection locked="0" hidden="1"/>
    </xf>
    <xf numFmtId="0" fontId="2" fillId="3" borderId="2" xfId="0" applyFont="1" applyFill="1" applyBorder="1" applyAlignment="1" applyProtection="1">
      <alignment horizontal="center"/>
      <protection locked="0" hidden="1"/>
    </xf>
    <xf numFmtId="0" fontId="6" fillId="2" borderId="0" xfId="0" applyFont="1" applyFill="1" applyAlignment="1" applyProtection="1">
      <alignment horizontal="center"/>
      <protection locked="0" hidden="1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2">
    <dxf>
      <font>
        <color rgb="FF92D050"/>
      </font>
    </dxf>
    <dxf>
      <font>
        <color rgb="FF92D050"/>
      </font>
    </dxf>
  </dxfs>
  <tableStyles count="0" defaultTableStyle="TableStyleMedium2" defaultPivotStyle="PivotStyleLight16"/>
  <colors>
    <mruColors>
      <color rgb="FF04D28D"/>
      <color rgb="FFFFC901"/>
      <color rgb="FFFFDB57"/>
      <color rgb="FFFFDD71"/>
      <color rgb="FF00AF61"/>
      <color rgb="FFFF9B9B"/>
      <color rgb="FFFF6D6D"/>
      <color rgb="FFB5E1AE"/>
      <color rgb="FF91D290"/>
      <color rgb="FFB3E2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GRAFICO COMPARATIVO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Gabarito!$S$46</c:f>
              <c:strCache>
                <c:ptCount val="1"/>
                <c:pt idx="0">
                  <c:v>SELIC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Gabarito!$T$45:$U$45</c:f>
              <c:strCache>
                <c:ptCount val="2"/>
                <c:pt idx="0">
                  <c:v>SELIC</c:v>
                </c:pt>
                <c:pt idx="1">
                  <c:v>OPERAÇÃO</c:v>
                </c:pt>
              </c:strCache>
            </c:strRef>
          </c:cat>
          <c:val>
            <c:numRef>
              <c:f>Gabarito!$T$46:$U$46</c:f>
              <c:numCache>
                <c:formatCode>_("R$"* #,##0.00_);_("R$"* \(#,##0.00\);_("R$"* "-"??_);_(@_)</c:formatCode>
                <c:ptCount val="2"/>
                <c:pt idx="0">
                  <c:v>158000</c:v>
                </c:pt>
                <c:pt idx="1">
                  <c:v>158000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4-4BF4-B038-AD3565AD948C}"/>
            </c:ext>
          </c:extLst>
        </c:ser>
        <c:ser>
          <c:idx val="1"/>
          <c:order val="1"/>
          <c:tx>
            <c:strRef>
              <c:f>Gabarito!$S$47</c:f>
              <c:strCache>
                <c:ptCount val="1"/>
                <c:pt idx="0">
                  <c:v>OPERAÇÃO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Gabarito!$T$45:$U$45</c:f>
              <c:strCache>
                <c:ptCount val="2"/>
                <c:pt idx="0">
                  <c:v>SELIC</c:v>
                </c:pt>
                <c:pt idx="1">
                  <c:v>OPERAÇÃO</c:v>
                </c:pt>
              </c:strCache>
            </c:strRef>
          </c:cat>
          <c:val>
            <c:numRef>
              <c:f>Gabarito!$T$47:$U$47</c:f>
              <c:numCache>
                <c:formatCode>_("R$"* #,##0.00_);_("R$"* \(#,##0.00\);_("R$"* "-"??_);_(@_)</c:formatCode>
                <c:ptCount val="2"/>
                <c:pt idx="0">
                  <c:v>162147.5</c:v>
                </c:pt>
                <c:pt idx="1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64-4BF4-B038-AD3565AD9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21837464"/>
        <c:axId val="621828608"/>
      </c:barChart>
      <c:catAx>
        <c:axId val="621837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1828608"/>
        <c:crosses val="autoZero"/>
        <c:auto val="1"/>
        <c:lblAlgn val="ctr"/>
        <c:lblOffset val="100"/>
        <c:noMultiLvlLbl val="0"/>
      </c:catAx>
      <c:valAx>
        <c:axId val="6218286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21837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362390837508949"/>
          <c:y val="2.8285713649365274E-2"/>
          <c:w val="0.62547959914101647"/>
          <c:h val="0.88460684174112847"/>
        </c:manualLayout>
      </c:layout>
      <c:doughnut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92D050"/>
              </a:solidFill>
              <a:ln w="142875" cap="rnd">
                <a:solidFill>
                  <a:srgbClr val="92D05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4-277D-4A39-9EA3-1D24EF7399CD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277D-4A39-9EA3-1D24EF7399C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2-277D-4A39-9EA3-1D24EF7399CD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77D-4A39-9EA3-1D24EF7399CD}"/>
              </c:ext>
            </c:extLst>
          </c:dPt>
          <c:cat>
            <c:strRef>
              <c:f>Gabarito!$S$32:$S$35</c:f>
              <c:strCache>
                <c:ptCount val="4"/>
                <c:pt idx="0">
                  <c:v>VALE A COMPRA</c:v>
                </c:pt>
                <c:pt idx="1">
                  <c:v>VERIFICAR</c:v>
                </c:pt>
                <c:pt idx="2">
                  <c:v>NÃO VALE A COMPRA</c:v>
                </c:pt>
                <c:pt idx="3">
                  <c:v>RESTANTE</c:v>
                </c:pt>
              </c:strCache>
            </c:strRef>
          </c:cat>
          <c:val>
            <c:numRef>
              <c:f>Gabarito!$T$32:$T$35</c:f>
              <c:numCache>
                <c:formatCode>_("R$"* #,##0.00_);_("R$"* \(#,##0.00\);_("R$"*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158000</c:v>
                </c:pt>
                <c:pt idx="3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D-4A39-9EA3-1D24EF739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411574</xdr:colOff>
      <xdr:row>33</xdr:row>
      <xdr:rowOff>15992</xdr:rowOff>
    </xdr:from>
    <xdr:to>
      <xdr:col>24</xdr:col>
      <xdr:colOff>0</xdr:colOff>
      <xdr:row>50</xdr:row>
      <xdr:rowOff>141111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57D1B2C-5855-E3B7-27B8-03507ABE2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142321</xdr:colOff>
      <xdr:row>28</xdr:row>
      <xdr:rowOff>153427</xdr:rowOff>
    </xdr:from>
    <xdr:to>
      <xdr:col>12</xdr:col>
      <xdr:colOff>1349055</xdr:colOff>
      <xdr:row>32</xdr:row>
      <xdr:rowOff>44802</xdr:rowOff>
    </xdr:to>
    <xdr:sp macro="" textlink="">
      <xdr:nvSpPr>
        <xdr:cNvPr id="13" name="Seta: para Cima 12">
          <a:extLst>
            <a:ext uri="{FF2B5EF4-FFF2-40B4-BE49-F238E27FC236}">
              <a16:creationId xmlns:a16="http://schemas.microsoft.com/office/drawing/2014/main" id="{88BB62FD-9BE1-99F7-69FB-B611BB42D057}"/>
            </a:ext>
          </a:extLst>
        </xdr:cNvPr>
        <xdr:cNvSpPr/>
      </xdr:nvSpPr>
      <xdr:spPr>
        <a:xfrm rot="16200000">
          <a:off x="1446760" y="5939822"/>
          <a:ext cx="643967" cy="1206734"/>
        </a:xfrm>
        <a:prstGeom prst="up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411574</xdr:colOff>
      <xdr:row>8</xdr:row>
      <xdr:rowOff>58796</xdr:rowOff>
    </xdr:from>
    <xdr:to>
      <xdr:col>24</xdr:col>
      <xdr:colOff>823148</xdr:colOff>
      <xdr:row>33</xdr:row>
      <xdr:rowOff>35278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CA000617-93EB-F4A2-248F-69894B2B5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623241</xdr:colOff>
      <xdr:row>18</xdr:row>
      <xdr:rowOff>2</xdr:rowOff>
    </xdr:from>
    <xdr:to>
      <xdr:col>21</xdr:col>
      <xdr:colOff>35278</xdr:colOff>
      <xdr:row>20</xdr:row>
      <xdr:rowOff>164629</xdr:rowOff>
    </xdr:to>
    <xdr:sp macro="" textlink="$AA$17">
      <xdr:nvSpPr>
        <xdr:cNvPr id="26" name="CaixaDeTexto 25">
          <a:extLst>
            <a:ext uri="{FF2B5EF4-FFF2-40B4-BE49-F238E27FC236}">
              <a16:creationId xmlns:a16="http://schemas.microsoft.com/office/drawing/2014/main" id="{3D9285B9-1DE0-FFD2-7BE1-C10535D32915}"/>
            </a:ext>
          </a:extLst>
        </xdr:cNvPr>
        <xdr:cNvSpPr txBox="1"/>
      </xdr:nvSpPr>
      <xdr:spPr>
        <a:xfrm>
          <a:off x="9325093" y="2422409"/>
          <a:ext cx="1340555" cy="540924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A14FCCA-36D3-4F69-8395-4E54AC768781}" type="TxLink">
            <a:rPr lang="en-US" sz="1400" b="0" i="0" u="none" strike="noStrike">
              <a:solidFill>
                <a:srgbClr val="FFFFFF"/>
              </a:solidFill>
              <a:latin typeface="Calibri"/>
              <a:cs typeface="Calibri"/>
            </a:rPr>
            <a:pPr/>
            <a:t> R$ 22.000,00 </a:t>
          </a:fld>
          <a:endParaRPr lang="en-US" sz="1400"/>
        </a:p>
      </xdr:txBody>
    </xdr:sp>
    <xdr:clientData/>
  </xdr:twoCellAnchor>
  <xdr:twoCellAnchor>
    <xdr:from>
      <xdr:col>19</xdr:col>
      <xdr:colOff>646760</xdr:colOff>
      <xdr:row>16</xdr:row>
      <xdr:rowOff>94073</xdr:rowOff>
    </xdr:from>
    <xdr:to>
      <xdr:col>20</xdr:col>
      <xdr:colOff>846667</xdr:colOff>
      <xdr:row>17</xdr:row>
      <xdr:rowOff>129351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CEE0357D-73B7-DEB0-020B-2D02618FF432}"/>
            </a:ext>
          </a:extLst>
        </xdr:cNvPr>
        <xdr:cNvSpPr txBox="1"/>
      </xdr:nvSpPr>
      <xdr:spPr>
        <a:xfrm>
          <a:off x="9348612" y="2140184"/>
          <a:ext cx="1187685" cy="223426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GANHOS/PERDAS</a:t>
          </a:r>
        </a:p>
        <a:p>
          <a:endParaRPr lang="pt-BR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0.32155</cdr:x>
      <cdr:y>0.46905</cdr:y>
    </cdr:from>
    <cdr:to>
      <cdr:x>0.68182</cdr:x>
      <cdr:y>0.6619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0E4DA4E9-6F6B-ED40-0A76-1A13868F062B}"/>
            </a:ext>
          </a:extLst>
        </cdr:cNvPr>
        <cdr:cNvSpPr txBox="1"/>
      </cdr:nvSpPr>
      <cdr:spPr>
        <a:xfrm xmlns:a="http://schemas.openxmlformats.org/drawingml/2006/main">
          <a:off x="2246018" y="2316574"/>
          <a:ext cx="2516482" cy="952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0.29293</cdr:x>
      <cdr:y>0.50952</cdr:y>
    </cdr:from>
    <cdr:to>
      <cdr:x>0.70539</cdr:x>
      <cdr:y>0.72857</cdr:y>
    </cdr:to>
    <cdr:sp macro="" textlink="Gabarito!$AA$22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26365F7B-9446-0101-A289-8CAB99237BA6}"/>
            </a:ext>
          </a:extLst>
        </cdr:cNvPr>
        <cdr:cNvSpPr txBox="1"/>
      </cdr:nvSpPr>
      <cdr:spPr>
        <a:xfrm xmlns:a="http://schemas.openxmlformats.org/drawingml/2006/main">
          <a:off x="2046111" y="2516482"/>
          <a:ext cx="2881019" cy="10818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92EC1B63-12E6-4C0B-AE8B-E83C079103B3}" type="TxLink">
            <a:rPr lang="en-US" sz="2800" b="0" i="0" u="none" strike="noStrike">
              <a:ln>
                <a:noFill/>
              </a:ln>
              <a:solidFill>
                <a:schemeClr val="bg1"/>
              </a:solidFill>
              <a:latin typeface="Calibri"/>
              <a:cs typeface="Calibri"/>
            </a:rPr>
            <a:pPr algn="ctr"/>
            <a:t>NÃO VALE A COMPRA</a:t>
          </a:fld>
          <a:endParaRPr lang="pt-BR" sz="2800">
            <a:ln>
              <a:noFill/>
            </a:ln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1421-90A5-42C6-A812-242F5A3A4257}">
  <dimension ref="L4:AE57"/>
  <sheetViews>
    <sheetView showGridLines="0" tabSelected="1" topLeftCell="I1" zoomScale="81" zoomScaleNormal="81" workbookViewId="0">
      <selection activeCell="N41" sqref="N41"/>
    </sheetView>
  </sheetViews>
  <sheetFormatPr baseColWidth="10" defaultColWidth="9.1640625" defaultRowHeight="15" outlineLevelCol="1" x14ac:dyDescent="0.2"/>
  <cols>
    <col min="1" max="11" width="9.1640625" style="1"/>
    <col min="12" max="12" width="6.1640625" style="1" customWidth="1"/>
    <col min="13" max="13" width="23.6640625" style="1" bestFit="1" customWidth="1"/>
    <col min="14" max="14" width="20.33203125" style="1" bestFit="1" customWidth="1"/>
    <col min="15" max="15" width="2.6640625" style="1" customWidth="1"/>
    <col min="16" max="16" width="17.5" style="1" bestFit="1" customWidth="1"/>
    <col min="17" max="17" width="17.83203125" style="1" bestFit="1" customWidth="1"/>
    <col min="18" max="18" width="13.33203125" style="1" customWidth="1"/>
    <col min="19" max="19" width="20.33203125" style="4" customWidth="1" outlineLevel="1"/>
    <col min="20" max="20" width="14.83203125" style="4" customWidth="1" outlineLevel="1"/>
    <col min="21" max="21" width="14.1640625" style="4" customWidth="1" outlineLevel="1"/>
    <col min="22" max="22" width="11" style="4" customWidth="1" outlineLevel="1"/>
    <col min="23" max="23" width="9.83203125" style="1" customWidth="1"/>
    <col min="24" max="24" width="15.5" style="1" customWidth="1"/>
    <col min="25" max="26" width="15.5" style="1" hidden="1" customWidth="1"/>
    <col min="27" max="27" width="32.5" style="1" hidden="1" customWidth="1"/>
    <col min="28" max="29" width="18" style="1" hidden="1" customWidth="1"/>
    <col min="30" max="31" width="9.1640625" style="1"/>
    <col min="32" max="32" width="13.5" style="1" customWidth="1"/>
    <col min="33" max="33" width="19.1640625" style="1" customWidth="1"/>
    <col min="34" max="35" width="14.1640625" style="1" bestFit="1" customWidth="1"/>
    <col min="36" max="16384" width="9.1640625" style="1"/>
  </cols>
  <sheetData>
    <row r="4" spans="12:27" hidden="1" x14ac:dyDescent="0.2"/>
    <row r="5" spans="12:27" hidden="1" x14ac:dyDescent="0.2"/>
    <row r="6" spans="12:27" hidden="1" x14ac:dyDescent="0.2">
      <c r="S6" s="6" t="s">
        <v>6</v>
      </c>
      <c r="T6" s="6" t="s">
        <v>7</v>
      </c>
      <c r="U6" s="6" t="s">
        <v>8</v>
      </c>
      <c r="V6" s="6"/>
    </row>
    <row r="7" spans="12:27" hidden="1" x14ac:dyDescent="0.2">
      <c r="S7" s="6"/>
      <c r="T7" s="6"/>
      <c r="U7" s="6"/>
      <c r="V7" s="6"/>
    </row>
    <row r="8" spans="12:27" hidden="1" x14ac:dyDescent="0.2">
      <c r="P8" s="30"/>
      <c r="Q8" s="30" t="s">
        <v>45</v>
      </c>
      <c r="S8" s="4" t="s">
        <v>11</v>
      </c>
      <c r="T8" s="7">
        <f>$T$11*U8</f>
        <v>125999.99999999999</v>
      </c>
      <c r="U8" s="8">
        <v>0.7</v>
      </c>
      <c r="V8" s="8">
        <f>1-U8</f>
        <v>0.30000000000000004</v>
      </c>
      <c r="W8" s="36">
        <f>T8+T9</f>
        <v>144000</v>
      </c>
      <c r="X8" s="37">
        <f>W8/T11</f>
        <v>0.8</v>
      </c>
      <c r="Y8" s="2" t="s">
        <v>4</v>
      </c>
      <c r="Z8" s="29" t="s">
        <v>5</v>
      </c>
    </row>
    <row r="9" spans="12:27" hidden="1" x14ac:dyDescent="0.2">
      <c r="L9" s="9"/>
      <c r="M9" s="9"/>
      <c r="N9" s="9"/>
      <c r="O9" s="9"/>
      <c r="P9" s="30">
        <v>1</v>
      </c>
      <c r="Q9" s="30" t="s">
        <v>15</v>
      </c>
      <c r="R9" s="9"/>
      <c r="S9" s="4" t="s">
        <v>12</v>
      </c>
      <c r="T9" s="7">
        <f>$T$11*U9</f>
        <v>18000</v>
      </c>
      <c r="U9" s="8">
        <v>0.1</v>
      </c>
      <c r="V9" s="8">
        <f>1-U9</f>
        <v>0.9</v>
      </c>
      <c r="W9" s="28"/>
    </row>
    <row r="10" spans="12:27" ht="15" customHeight="1" x14ac:dyDescent="0.2">
      <c r="L10" s="10"/>
      <c r="M10" s="11" t="s">
        <v>46</v>
      </c>
      <c r="N10" s="10"/>
      <c r="O10" s="10"/>
      <c r="P10" s="30">
        <v>2</v>
      </c>
      <c r="Q10" s="30" t="s">
        <v>16</v>
      </c>
      <c r="R10" s="9"/>
      <c r="S10" s="4" t="s">
        <v>13</v>
      </c>
      <c r="T10" s="7">
        <f>$T$11*U10</f>
        <v>36000</v>
      </c>
      <c r="U10" s="8">
        <v>0.2</v>
      </c>
      <c r="V10" s="8">
        <f>1-U10</f>
        <v>0.8</v>
      </c>
      <c r="W10" s="28"/>
    </row>
    <row r="11" spans="12:27" ht="16" x14ac:dyDescent="0.2">
      <c r="L11" s="10"/>
      <c r="M11" s="11"/>
      <c r="N11" s="10"/>
      <c r="O11" s="10"/>
      <c r="P11" s="30">
        <v>3</v>
      </c>
      <c r="Q11" s="30" t="s">
        <v>17</v>
      </c>
      <c r="R11" s="9"/>
      <c r="S11" s="4" t="s">
        <v>0</v>
      </c>
      <c r="T11" s="7">
        <f>N40</f>
        <v>180000</v>
      </c>
      <c r="U11" s="8">
        <f>SUM(U8:U10)</f>
        <v>1</v>
      </c>
      <c r="V11" s="8"/>
    </row>
    <row r="12" spans="12:27" ht="16" x14ac:dyDescent="0.2">
      <c r="L12" s="10"/>
      <c r="M12" s="54" t="s">
        <v>52</v>
      </c>
      <c r="N12" s="54"/>
      <c r="O12" s="54"/>
      <c r="P12" s="30">
        <v>4</v>
      </c>
      <c r="Q12" s="30" t="s">
        <v>18</v>
      </c>
      <c r="R12" s="9"/>
      <c r="T12" s="12"/>
      <c r="X12" s="1" t="s">
        <v>54</v>
      </c>
      <c r="Y12" s="36">
        <f>T11</f>
        <v>180000</v>
      </c>
    </row>
    <row r="13" spans="12:27" ht="17" thickBot="1" x14ac:dyDescent="0.25">
      <c r="L13" s="10"/>
      <c r="M13" s="11"/>
      <c r="N13" s="10"/>
      <c r="O13" s="10"/>
      <c r="P13" s="9"/>
      <c r="Q13" s="9"/>
      <c r="R13" s="9"/>
      <c r="S13" s="6" t="s">
        <v>3</v>
      </c>
      <c r="T13" s="6" t="s">
        <v>1</v>
      </c>
      <c r="X13" s="1" t="s">
        <v>55</v>
      </c>
      <c r="Y13" s="36">
        <f>T21</f>
        <v>158000</v>
      </c>
    </row>
    <row r="14" spans="12:27" ht="25" thickBot="1" x14ac:dyDescent="0.35">
      <c r="L14" s="10"/>
      <c r="M14" s="10"/>
      <c r="N14" s="10"/>
      <c r="O14" s="10"/>
      <c r="P14" s="9"/>
      <c r="Q14" s="9"/>
      <c r="R14" s="9"/>
      <c r="S14" s="4" t="s">
        <v>5</v>
      </c>
      <c r="T14" s="13">
        <f>N42</f>
        <v>158000</v>
      </c>
      <c r="X14" s="1" t="s">
        <v>56</v>
      </c>
      <c r="Y14" s="36">
        <f>Y12-Y13</f>
        <v>22000</v>
      </c>
      <c r="AA14" s="46" t="str">
        <f>IF(T14&lt;=T8,"VALE A COMPRA",IF(T14&gt;W8,"NÃO VALE A COMPRA","VERIFICAR"))</f>
        <v>NÃO VALE A COMPRA</v>
      </c>
    </row>
    <row r="15" spans="12:27" x14ac:dyDescent="0.2">
      <c r="L15" s="10"/>
      <c r="M15" s="10" t="s">
        <v>21</v>
      </c>
      <c r="N15" s="39">
        <v>44920</v>
      </c>
      <c r="O15" s="10"/>
      <c r="R15" s="9"/>
      <c r="T15" s="13"/>
      <c r="X15" s="1" t="s">
        <v>57</v>
      </c>
      <c r="Y15" s="37">
        <f>Y13/Y12</f>
        <v>0.87777777777777777</v>
      </c>
    </row>
    <row r="16" spans="12:27" x14ac:dyDescent="0.2">
      <c r="L16" s="10"/>
      <c r="M16" s="10" t="s">
        <v>23</v>
      </c>
      <c r="N16" s="40" t="s">
        <v>47</v>
      </c>
      <c r="O16" s="10"/>
      <c r="R16" s="9"/>
      <c r="T16" s="13"/>
      <c r="AA16" s="2" t="s">
        <v>59</v>
      </c>
    </row>
    <row r="17" spans="12:31" x14ac:dyDescent="0.2">
      <c r="L17" s="10"/>
      <c r="M17" s="10" t="s">
        <v>25</v>
      </c>
      <c r="N17" s="40" t="s">
        <v>49</v>
      </c>
      <c r="O17" s="10"/>
      <c r="R17" s="9"/>
      <c r="T17" s="13"/>
      <c r="AA17" s="47">
        <f>N43-N42</f>
        <v>22000</v>
      </c>
    </row>
    <row r="18" spans="12:31" x14ac:dyDescent="0.2">
      <c r="L18" s="10"/>
      <c r="M18" s="10" t="s">
        <v>27</v>
      </c>
      <c r="N18" s="40">
        <v>27</v>
      </c>
      <c r="O18" s="10"/>
      <c r="R18" s="9"/>
      <c r="T18" s="13"/>
      <c r="AA18" s="2"/>
    </row>
    <row r="19" spans="12:31" x14ac:dyDescent="0.2">
      <c r="M19" s="10" t="s">
        <v>29</v>
      </c>
      <c r="N19" s="40" t="s">
        <v>48</v>
      </c>
      <c r="O19" s="10"/>
      <c r="R19" s="9"/>
    </row>
    <row r="20" spans="12:31" x14ac:dyDescent="0.2">
      <c r="L20" s="10"/>
      <c r="M20" s="10" t="s">
        <v>30</v>
      </c>
      <c r="N20" s="40">
        <v>55000</v>
      </c>
      <c r="O20" s="10"/>
      <c r="R20" s="9"/>
      <c r="S20" s="6" t="s">
        <v>9</v>
      </c>
      <c r="T20" s="6" t="s">
        <v>10</v>
      </c>
      <c r="U20" s="6" t="s">
        <v>8</v>
      </c>
      <c r="V20" s="6"/>
    </row>
    <row r="21" spans="12:31" x14ac:dyDescent="0.2">
      <c r="M21" s="10" t="s">
        <v>19</v>
      </c>
      <c r="N21" s="41">
        <v>2500</v>
      </c>
      <c r="O21" s="10"/>
      <c r="P21" s="9"/>
      <c r="Q21" s="9"/>
      <c r="R21" s="9"/>
      <c r="S21" s="4" t="s">
        <v>1</v>
      </c>
      <c r="T21" s="7">
        <f>VLOOKUP(Z8,S14:T14,2,0)</f>
        <v>158000</v>
      </c>
      <c r="U21" s="15">
        <f>T21/T11</f>
        <v>0.87777777777777777</v>
      </c>
      <c r="V21" s="15"/>
    </row>
    <row r="22" spans="12:31" x14ac:dyDescent="0.2">
      <c r="M22" s="10" t="s">
        <v>20</v>
      </c>
      <c r="N22" s="41">
        <v>6000</v>
      </c>
      <c r="O22" s="10"/>
      <c r="P22" s="9"/>
      <c r="Q22" s="9"/>
      <c r="R22" s="9"/>
      <c r="T22" s="16"/>
      <c r="AA22" s="1" t="str">
        <f>AA14</f>
        <v>NÃO VALE A COMPRA</v>
      </c>
    </row>
    <row r="23" spans="12:31" x14ac:dyDescent="0.2">
      <c r="M23" s="10" t="s">
        <v>22</v>
      </c>
      <c r="N23" s="41">
        <v>0</v>
      </c>
      <c r="O23" s="10"/>
      <c r="P23" s="30"/>
      <c r="Q23" s="30"/>
      <c r="R23" s="30"/>
      <c r="S23" s="31" t="s">
        <v>2</v>
      </c>
      <c r="T23" s="32">
        <f>SUM(T8:T11)-T21-T22</f>
        <v>202000</v>
      </c>
      <c r="U23" s="31"/>
      <c r="V23" s="31"/>
    </row>
    <row r="24" spans="12:31" x14ac:dyDescent="0.2">
      <c r="L24" s="24"/>
      <c r="M24" s="10" t="s">
        <v>24</v>
      </c>
      <c r="N24" s="41">
        <v>500</v>
      </c>
      <c r="O24" s="10"/>
      <c r="P24" s="30">
        <v>3448</v>
      </c>
      <c r="Q24" s="33">
        <f>N43-N42</f>
        <v>22000</v>
      </c>
      <c r="R24" s="30"/>
      <c r="S24" s="31" t="s">
        <v>37</v>
      </c>
      <c r="T24" s="34">
        <f>N43-N42</f>
        <v>22000</v>
      </c>
      <c r="U24" s="31"/>
      <c r="V24" s="31"/>
    </row>
    <row r="25" spans="12:31" ht="16" thickBot="1" x14ac:dyDescent="0.25">
      <c r="L25" s="24"/>
      <c r="M25" s="10" t="s">
        <v>26</v>
      </c>
      <c r="N25" s="42">
        <v>2000</v>
      </c>
      <c r="O25" s="10"/>
      <c r="P25" s="35"/>
      <c r="Q25" s="30"/>
      <c r="R25" s="30"/>
      <c r="S25" s="31" t="s">
        <v>58</v>
      </c>
      <c r="T25" s="31"/>
      <c r="U25" s="31"/>
      <c r="V25" s="31"/>
      <c r="AE25" s="18"/>
    </row>
    <row r="26" spans="12:31" x14ac:dyDescent="0.2">
      <c r="L26" s="24"/>
      <c r="M26" s="10" t="s">
        <v>14</v>
      </c>
      <c r="N26" s="14">
        <f>SUM(N21:N25)</f>
        <v>11000</v>
      </c>
      <c r="O26" s="10"/>
      <c r="P26" s="10"/>
      <c r="Q26" s="10"/>
      <c r="R26" s="9"/>
      <c r="T26" s="17"/>
    </row>
    <row r="27" spans="12:31" x14ac:dyDescent="0.2">
      <c r="L27" s="24"/>
      <c r="O27" s="10"/>
      <c r="R27" s="9"/>
    </row>
    <row r="28" spans="12:31" x14ac:dyDescent="0.2">
      <c r="L28" s="10"/>
      <c r="M28" s="10"/>
      <c r="N28" s="10"/>
      <c r="O28" s="10"/>
      <c r="R28" s="9"/>
    </row>
    <row r="29" spans="12:31" x14ac:dyDescent="0.2">
      <c r="L29" s="10"/>
      <c r="N29" s="2" t="s">
        <v>45</v>
      </c>
      <c r="O29" s="10"/>
      <c r="R29" s="9"/>
    </row>
    <row r="30" spans="12:31" ht="16" thickBot="1" x14ac:dyDescent="0.25">
      <c r="L30" s="10"/>
      <c r="M30" s="24">
        <v>1</v>
      </c>
      <c r="N30" s="10" t="s">
        <v>15</v>
      </c>
      <c r="O30" s="9"/>
      <c r="R30" s="9"/>
    </row>
    <row r="31" spans="12:31" ht="20" thickBot="1" x14ac:dyDescent="0.3">
      <c r="L31" s="38">
        <v>4</v>
      </c>
      <c r="M31" s="24">
        <v>2</v>
      </c>
      <c r="N31" s="10" t="s">
        <v>16</v>
      </c>
      <c r="O31" s="9"/>
      <c r="P31" s="9"/>
      <c r="Q31" s="9"/>
      <c r="R31" s="9"/>
    </row>
    <row r="32" spans="12:31" x14ac:dyDescent="0.2">
      <c r="L32" s="10"/>
      <c r="M32" s="24">
        <v>3</v>
      </c>
      <c r="N32" s="10" t="s">
        <v>17</v>
      </c>
      <c r="O32" s="9"/>
      <c r="S32" s="4" t="s">
        <v>11</v>
      </c>
      <c r="T32" s="48" t="str">
        <f>IF($AA$14=S32,$T$14,"")</f>
        <v/>
      </c>
    </row>
    <row r="33" spans="12:31" x14ac:dyDescent="0.2">
      <c r="L33" s="10"/>
      <c r="M33" s="24">
        <v>4</v>
      </c>
      <c r="N33" s="10" t="s">
        <v>18</v>
      </c>
      <c r="O33" s="9"/>
      <c r="S33" s="4" t="s">
        <v>12</v>
      </c>
      <c r="T33" s="48" t="str">
        <f>IF($AA$14=S33,$T$14,"")</f>
        <v/>
      </c>
    </row>
    <row r="34" spans="12:31" x14ac:dyDescent="0.2">
      <c r="L34" s="20"/>
      <c r="M34" s="10"/>
      <c r="N34" s="10"/>
      <c r="O34" s="9"/>
      <c r="P34" s="2"/>
      <c r="Q34" s="2"/>
      <c r="R34" s="2"/>
      <c r="S34" s="4" t="s">
        <v>13</v>
      </c>
      <c r="T34" s="48">
        <f>IF($AA$14=S34,$T$14,"")</f>
        <v>158000</v>
      </c>
    </row>
    <row r="35" spans="12:31" x14ac:dyDescent="0.2">
      <c r="L35" s="20"/>
      <c r="P35" s="2"/>
      <c r="Q35" s="2"/>
      <c r="R35" s="2"/>
      <c r="S35" s="4" t="s">
        <v>56</v>
      </c>
      <c r="T35" s="48">
        <f>T11-SUM(T32:T34)</f>
        <v>22000</v>
      </c>
    </row>
    <row r="36" spans="12:31" x14ac:dyDescent="0.2">
      <c r="L36" s="10"/>
      <c r="P36" s="22"/>
      <c r="Q36" s="22"/>
      <c r="R36" s="22"/>
    </row>
    <row r="37" spans="12:31" x14ac:dyDescent="0.2">
      <c r="L37" s="10"/>
      <c r="M37" s="10" t="s">
        <v>28</v>
      </c>
      <c r="N37" s="10" t="str">
        <f>VLOOKUP(L31,P9:Q12,2,0)</f>
        <v>OUTROS</v>
      </c>
      <c r="O37" s="2"/>
      <c r="P37" s="2"/>
      <c r="Q37" s="2"/>
      <c r="R37" s="2"/>
    </row>
    <row r="38" spans="12:31" x14ac:dyDescent="0.2">
      <c r="L38" s="9"/>
      <c r="M38" s="10" t="s">
        <v>31</v>
      </c>
      <c r="N38" s="19">
        <f>N26</f>
        <v>11000</v>
      </c>
      <c r="O38" s="2"/>
    </row>
    <row r="39" spans="12:31" ht="16" thickBot="1" x14ac:dyDescent="0.25">
      <c r="L39" s="9"/>
      <c r="M39" s="10" t="s">
        <v>32</v>
      </c>
      <c r="N39" s="19">
        <f>5%*N41</f>
        <v>7000</v>
      </c>
      <c r="O39" s="22"/>
    </row>
    <row r="40" spans="12:31" x14ac:dyDescent="0.2">
      <c r="L40" s="9"/>
      <c r="M40" s="10" t="s">
        <v>33</v>
      </c>
      <c r="N40" s="43">
        <v>180000</v>
      </c>
      <c r="O40" s="2"/>
      <c r="S40" s="1"/>
      <c r="T40" s="1"/>
      <c r="U40" s="1"/>
    </row>
    <row r="41" spans="12:31" ht="20" thickBot="1" x14ac:dyDescent="0.3">
      <c r="L41" s="9"/>
      <c r="M41" s="10" t="s">
        <v>34</v>
      </c>
      <c r="N41" s="49">
        <v>140000</v>
      </c>
      <c r="S41" s="2" t="s">
        <v>43</v>
      </c>
      <c r="T41" s="3">
        <f>N49*N42</f>
        <v>4147.4999999999991</v>
      </c>
      <c r="U41" s="1"/>
    </row>
    <row r="42" spans="12:31" x14ac:dyDescent="0.2">
      <c r="L42" s="9"/>
      <c r="M42" s="10" t="s">
        <v>35</v>
      </c>
      <c r="N42" s="50">
        <f>N41+N39+N38</f>
        <v>158000</v>
      </c>
      <c r="S42" s="2" t="s">
        <v>44</v>
      </c>
      <c r="T42" s="3">
        <f>Q24</f>
        <v>22000</v>
      </c>
      <c r="U42" s="1"/>
    </row>
    <row r="43" spans="12:31" x14ac:dyDescent="0.2">
      <c r="M43" s="10" t="s">
        <v>36</v>
      </c>
      <c r="N43" s="20">
        <f>IF(N37="FINANCIAMENTO",0.95*N40,IF(N37="PEQUENA MONTA",0.9*N40,IF(N37="MEDIA MONTA",0.85*N40,IF(N37="OUTROS",1*N40,0))))</f>
        <v>180000</v>
      </c>
      <c r="S43" s="2" t="s">
        <v>41</v>
      </c>
      <c r="T43" s="3">
        <f>N42</f>
        <v>158000</v>
      </c>
      <c r="U43" s="1"/>
      <c r="AB43" s="4"/>
      <c r="AC43" s="4"/>
      <c r="AD43" s="4"/>
      <c r="AE43" s="4"/>
    </row>
    <row r="44" spans="12:31" ht="16" thickBot="1" x14ac:dyDescent="0.25">
      <c r="M44" s="10"/>
      <c r="N44" s="20"/>
      <c r="S44" s="1"/>
      <c r="T44" s="1"/>
      <c r="U44" s="1"/>
      <c r="AB44" s="4"/>
      <c r="AC44" s="4"/>
      <c r="AD44" s="4"/>
      <c r="AE44" s="4"/>
    </row>
    <row r="45" spans="12:31" ht="16" thickBot="1" x14ac:dyDescent="0.25">
      <c r="L45" s="2"/>
      <c r="M45" s="51" t="s">
        <v>53</v>
      </c>
      <c r="N45" s="52"/>
      <c r="O45" s="52"/>
      <c r="P45" s="52"/>
      <c r="Q45" s="53"/>
      <c r="S45" s="1"/>
      <c r="T45" s="1" t="s">
        <v>38</v>
      </c>
      <c r="U45" s="1" t="s">
        <v>42</v>
      </c>
      <c r="AB45" s="4"/>
      <c r="AC45" s="4"/>
      <c r="AD45" s="4"/>
      <c r="AE45" s="4"/>
    </row>
    <row r="46" spans="12:31" ht="16" thickBot="1" x14ac:dyDescent="0.25">
      <c r="L46" s="2"/>
      <c r="M46" s="23"/>
      <c r="N46" s="10"/>
      <c r="P46" s="10" t="s">
        <v>50</v>
      </c>
      <c r="Q46" s="19">
        <f>N43</f>
        <v>180000</v>
      </c>
      <c r="S46" s="2" t="s">
        <v>38</v>
      </c>
      <c r="T46" s="5">
        <f>T43</f>
        <v>158000</v>
      </c>
      <c r="U46" s="5">
        <f>T43</f>
        <v>158000</v>
      </c>
      <c r="AB46" s="4"/>
      <c r="AC46" s="4"/>
      <c r="AD46" s="4"/>
      <c r="AE46" s="4"/>
    </row>
    <row r="47" spans="12:31" x14ac:dyDescent="0.2">
      <c r="L47" s="22"/>
      <c r="M47" s="10" t="s">
        <v>38</v>
      </c>
      <c r="N47" s="44">
        <v>0.105</v>
      </c>
      <c r="P47" s="10" t="s">
        <v>51</v>
      </c>
      <c r="Q47" s="25">
        <f>N42</f>
        <v>158000</v>
      </c>
      <c r="S47" s="2" t="s">
        <v>42</v>
      </c>
      <c r="T47" s="5">
        <f>T41+N42</f>
        <v>162147.5</v>
      </c>
      <c r="U47" s="5">
        <f>T42+N42</f>
        <v>180000</v>
      </c>
      <c r="AB47" s="4"/>
      <c r="AC47" s="4"/>
      <c r="AD47" s="4"/>
      <c r="AE47" s="4"/>
    </row>
    <row r="48" spans="12:31" ht="16" thickBot="1" x14ac:dyDescent="0.25">
      <c r="L48" s="2"/>
      <c r="M48" s="10" t="s">
        <v>39</v>
      </c>
      <c r="N48" s="45">
        <v>3</v>
      </c>
      <c r="P48" s="10" t="s">
        <v>42</v>
      </c>
      <c r="Q48" s="21">
        <f>(Q46-Q47)/Q47</f>
        <v>0.13924050632911392</v>
      </c>
      <c r="S48" s="1"/>
      <c r="T48" s="1"/>
      <c r="U48" s="1"/>
      <c r="AB48" s="4"/>
      <c r="AC48" s="4"/>
      <c r="AD48" s="4"/>
      <c r="AE48" s="4"/>
    </row>
    <row r="49" spans="13:31" ht="16" thickBot="1" x14ac:dyDescent="0.25">
      <c r="M49" s="26" t="s">
        <v>40</v>
      </c>
      <c r="N49" s="27">
        <f>(N47/12)*N48</f>
        <v>2.6249999999999996E-2</v>
      </c>
      <c r="P49" s="26" t="s">
        <v>40</v>
      </c>
      <c r="Q49" s="27">
        <f>Q48/N48</f>
        <v>4.6413502109704637E-2</v>
      </c>
      <c r="S49" s="1"/>
      <c r="T49" s="1"/>
      <c r="U49" s="1"/>
      <c r="AB49" s="4"/>
      <c r="AC49" s="4"/>
      <c r="AD49" s="4"/>
      <c r="AE49" s="4"/>
    </row>
    <row r="50" spans="13:31" x14ac:dyDescent="0.2">
      <c r="M50" s="10"/>
      <c r="N50" s="21"/>
      <c r="AB50" s="4"/>
      <c r="AC50" s="4"/>
      <c r="AD50" s="4"/>
      <c r="AE50" s="4"/>
    </row>
    <row r="51" spans="13:31" x14ac:dyDescent="0.2">
      <c r="M51" s="9"/>
      <c r="N51" s="9"/>
      <c r="AB51" s="4"/>
      <c r="AC51" s="4"/>
      <c r="AD51" s="4"/>
      <c r="AE51" s="4"/>
    </row>
    <row r="52" spans="13:31" x14ac:dyDescent="0.2">
      <c r="AB52" s="4"/>
      <c r="AC52" s="4"/>
      <c r="AD52" s="4"/>
      <c r="AE52" s="4"/>
    </row>
    <row r="54" spans="13:31" x14ac:dyDescent="0.2">
      <c r="M54" s="2"/>
      <c r="N54" s="2"/>
    </row>
    <row r="55" spans="13:31" x14ac:dyDescent="0.2">
      <c r="M55" s="2"/>
      <c r="N55" s="2"/>
    </row>
    <row r="56" spans="13:31" x14ac:dyDescent="0.2">
      <c r="M56" s="22"/>
      <c r="N56" s="22"/>
    </row>
    <row r="57" spans="13:31" x14ac:dyDescent="0.2">
      <c r="M57" s="2"/>
      <c r="N57" s="2"/>
    </row>
  </sheetData>
  <sheetProtection algorithmName="SHA-512" hashValue="YNnW4flXJIrRx1Ca0a6Gik4KPgINM8S1aH0qbuBto0Pyk1ntJ6kv9QArReerUVAZZgZoslYwPDPR4Q75gMeb4A==" saltValue="BM7u05XtUaLWZgKGOn4msw==" spinCount="100000" sheet="1" objects="1" scenarios="1"/>
  <mergeCells count="2">
    <mergeCell ref="M45:Q45"/>
    <mergeCell ref="M12:O12"/>
  </mergeCells>
  <conditionalFormatting sqref="AA22">
    <cfRule type="containsText" dxfId="1" priority="1" operator="containsText" text="VALE A COMPRA">
      <formula>NOT(ISERROR(SEARCH("VALE A COMPRA",AA22)))</formula>
    </cfRule>
  </conditionalFormatting>
  <conditionalFormatting sqref="AA25">
    <cfRule type="containsText" dxfId="0" priority="2" operator="containsText" text="VALE A COMPRA">
      <formula>NOT(ISERROR(SEARCH("VALE A COMPRA",AA25)))</formula>
    </cfRule>
  </conditionalFormatting>
  <dataValidations disablePrompts="1" count="1">
    <dataValidation type="list" allowBlank="1" showInputMessage="1" showErrorMessage="1" sqref="Z8" xr:uid="{6EB37E7B-BABD-488E-A9EA-03F62BA67F7D}">
      <formula1>$S$14:$S$18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N37:N39 N42:N43 N49 Q46:Q49 Q24" unlockedFormula="1"/>
    <ignoredError sqref="N2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LUTHAYNNER RIBEIRO</cp:lastModifiedBy>
  <dcterms:created xsi:type="dcterms:W3CDTF">2020-10-16T18:08:38Z</dcterms:created>
  <dcterms:modified xsi:type="dcterms:W3CDTF">2024-09-20T14:58:14Z</dcterms:modified>
</cp:coreProperties>
</file>
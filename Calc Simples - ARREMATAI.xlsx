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D:\python\arrematai\"/>
    </mc:Choice>
  </mc:AlternateContent>
  <xr:revisionPtr revIDLastSave="0" documentId="13_ncr:1_{32C6E016-57B4-41D3-ABE2-600635351DCA}" xr6:coauthVersionLast="47" xr6:coauthVersionMax="47" xr10:uidLastSave="{00000000-0000-0000-0000-000000000000}"/>
  <bookViews>
    <workbookView xWindow="-120" yWindow="-120" windowWidth="38640" windowHeight="15720" xr2:uid="{AC9232A4-AAE0-4ED4-9E5A-EF6B137CDC7B}"/>
  </bookViews>
  <sheets>
    <sheet name="CalcSimple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8" i="1" l="1"/>
  <c r="D7" i="1" a="1"/>
  <c r="D7" i="1" s="1"/>
  <c r="D10" i="1" s="1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<sst xmlns="http://schemas.openxmlformats.org/spreadsheetml/2006/main" count="66" uniqueCount="34">
  <si>
    <t>Calculadora de Viabilidade - Simples</t>
  </si>
  <si>
    <t>Códgio</t>
  </si>
  <si>
    <t>Nome</t>
  </si>
  <si>
    <t>Exemplo</t>
  </si>
  <si>
    <t>Seleção Exemplo</t>
  </si>
  <si>
    <t>Interação Usuário</t>
  </si>
  <si>
    <t>Dicas</t>
  </si>
  <si>
    <t>Fipe</t>
  </si>
  <si>
    <t>Preenchida pelo usuário</t>
  </si>
  <si>
    <t>Valor atual da fipe consutada no seguinte link https://veiculos.fipe.org.br/</t>
  </si>
  <si>
    <t>Vv</t>
  </si>
  <si>
    <t>Venda</t>
  </si>
  <si>
    <t>Pequena Monta</t>
  </si>
  <si>
    <t>Lista 1 - Selecionada pelo usuário</t>
  </si>
  <si>
    <t>Selecione o motivo do leilão do automóvel. Calcularemos o melhor preço de venda considerando o motivo de leilão do veículo.</t>
  </si>
  <si>
    <t>%</t>
  </si>
  <si>
    <t>Comissão Leiloeiro</t>
  </si>
  <si>
    <t>Comissão do leiloerio. Esta comissão se encontra no edital do leilão do veículo encontrada no próprio anúncio.</t>
  </si>
  <si>
    <t>Od</t>
  </si>
  <si>
    <t>Outras Despesas</t>
  </si>
  <si>
    <t>Despesas com outras taxa, documentações e outros.</t>
  </si>
  <si>
    <t>Lmax</t>
  </si>
  <si>
    <t>Lance Máximo</t>
  </si>
  <si>
    <t>Resultado</t>
  </si>
  <si>
    <t>Formula</t>
  </si>
  <si>
    <t>Lmax = (Vv - C - L-Od) / (1+%/100)</t>
  </si>
  <si>
    <t xml:space="preserve">Lista 1 </t>
  </si>
  <si>
    <t>Financimamento</t>
  </si>
  <si>
    <t>Média Monta</t>
  </si>
  <si>
    <t>Outros</t>
  </si>
  <si>
    <t>Lista 2</t>
  </si>
  <si>
    <t>Uso</t>
  </si>
  <si>
    <t>Valor do lucro esperado</t>
  </si>
  <si>
    <t>50000 - 1000 * 1,05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</si>
</sst>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R$-416]\ * #,##0.00_-;\-[$R$-416]\ * #,##0.00_-;_-[$R$-416]\ * &quot;-&quot;??_-;_-@_-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36"/>
      <color theme="1"/>
      <name val="Aptos Narrow"/>
      <family val="2"/>
      <scheme val="minor"/>
    </font>
    <font>
      <sz val="36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">
    <xf numFmtId="0" fontId="0" fillId="0" borderId="0" xfId="0"/>
    <xf numFmtId="0" fontId="3" fillId="0" borderId="0" xfId="0" applyFont="1" applyAlignment="1">
      <alignment horizontal="centerContinuous" vertical="center"/>
    </xf>
    <xf numFmtId="0" fontId="4" fillId="0" borderId="0" xfId="0" applyFont="1" applyAlignment="1">
      <alignment horizontal="centerContinuous" vertical="center"/>
    </xf>
    <xf numFmtId="0" fontId="0" fillId="0" borderId="0" xfId="0" applyAlignment="1">
      <alignment horizontal="center" vertical="center"/>
    </xf>
    <xf numFmtId="0" fontId="2" fillId="0" borderId="0" xfId="0" applyFont="1"/>
    <xf numFmtId="164" fontId="0" fillId="0" borderId="0" xfId="1" applyNumberFormat="1" applyFont="1"/>
  </cellXfs>
  <cellStyles count="2">
    <cellStyle name="Normal" xfId="0" builtinId="0"/>
    <cellStyle name="Porcentagem" xfId="1" builtinId="5"/>
  </cellStyles>
  <dxfs count="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-[$R$-416]\ * #,##0.00_-;\-[$R$-416]\ * #,##0.00_-;_-[$R$-416]\ * &quot;-&quot;??_-;_-@_-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-[$R$-416]\ * #,##0.00_-;\-[$R$-416]\ * #,##0.00_-;_-[$R$-416]\ * &quot;-&quot;??_-;_-@_-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952500</xdr:colOff>
      <xdr:row>0</xdr:row>
      <xdr:rowOff>171450</xdr:rowOff>
    </xdr:from>
    <xdr:to>
      <xdr:col>3</xdr:col>
      <xdr:colOff>47625</xdr:colOff>
      <xdr:row>2</xdr:row>
      <xdr:rowOff>17183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3718387-E63F-467E-A833-FB0D2F4CE3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71700" y="171450"/>
          <a:ext cx="1114425" cy="626783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373331A-33D6-42DF-911E-414133C69396}" name="Tabela15" displayName="Tabela15" ref="B5:G10" totalsRowShown="0" headerRowDxfId="3">
  <autoFilter ref="B5:G10" xr:uid="{96CC35E0-692E-4DB5-BA40-874DB98BEE60}"/>
  <tableColumns count="6">
    <tableColumn id="1" xr3:uid="{E276E0D2-6FB1-4581-827C-F34AA1E7EEF4}" name="Códgio"/>
    <tableColumn id="2" xr3:uid="{E826F8FB-E381-4CD1-9E32-FB69CE36FE10}" name="Nome"/>
    <tableColumn id="3" xr3:uid="{B7275951-0CEE-452D-B58D-6AFD9CAFEEC6}" name="Exemplo" dataDxfId="2" dataCellStyle="Porcentagem"/>
    <tableColumn id="4" xr3:uid="{7F5DAB7F-003B-45D2-BA1C-D270BD2E5D6F}" name="Seleção Exemplo"/>
    <tableColumn id="5" xr3:uid="{8DBE3C24-3D5C-4E34-87C9-B9284EEB370F}" name="Interação Usuário"/>
    <tableColumn id="6" xr3:uid="{60036E0E-0498-41FB-BA11-551015B0D1C4}" name="Dicas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F2C873B-5A68-4536-8F71-5BA0E52E9121}" name="Tabela26" displayName="Tabela26" ref="B15:G16" totalsRowShown="0">
  <autoFilter ref="B15:G16" xr:uid="{DE8C6CB7-E9BF-4C86-9986-B7D941CB4C1C}"/>
  <tableColumns count="6">
    <tableColumn id="1" xr3:uid="{A8A695ED-5FC6-418D-9C20-8C31FADE9F56}" name="Lista 1 "/>
    <tableColumn id="2" xr3:uid="{C5958902-C14F-4B7C-BF49-F1E8F45637ED}" name="Financimamento"/>
    <tableColumn id="3" xr3:uid="{E9B223D5-3F71-455B-8400-493EFB32692A}" name="Pequena Monta"/>
    <tableColumn id="4" xr3:uid="{9E590107-4D3F-42AC-A217-1620604D2153}" name="Média Monta"/>
    <tableColumn id="5" xr3:uid="{F5A4800C-4B8A-465D-A6CB-8457642046DD}" name="Outros"/>
    <tableColumn id="6" xr3:uid="{E562EB7E-FC17-4408-A06A-5D3B5BB252EB}" name="50000 - 1000 * 1,05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7199EA5-2A94-45E9-BDD9-FFFCDFB17D55}" name="Tabela37" displayName="Tabela37" ref="B18:D19" totalsRowShown="0">
  <autoFilter ref="B18:D19" xr:uid="{116FE127-52E7-42D5-9E09-239D6FBC4EB5}"/>
  <tableColumns count="3">
    <tableColumn id="1" xr3:uid="{9C3CDE14-85C7-4E5A-9265-8406BEE7884E}" name="Lista 2"/>
    <tableColumn id="2" xr3:uid="{0A0F3617-B1B9-4F8F-994E-F86228424E94}" name="Uso"/>
    <tableColumn id="3" xr3:uid="{07498151-AA2A-4898-8C5A-2BE0028162A3}" name="Venda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BA067E9-936F-47DC-A06E-20D51764ADA9}" name="Tabela155" displayName="Tabela155" ref="B23:G28" totalsRowShown="0" headerRowDxfId="1">
  <autoFilter ref="B23:G28" xr:uid="{3BA067E9-936F-47DC-A06E-20D51764ADA9}"/>
  <tableColumns count="6">
    <tableColumn id="1" xr3:uid="{9A97AF9D-3827-49ED-BB87-E467DF100498}" name="Códgio"/>
    <tableColumn id="2" xr3:uid="{7FB92A35-D578-4CC8-B234-3ECAE4244C95}" name="Nome"/>
    <tableColumn id="3" xr3:uid="{3CF95083-EE54-487B-B2E6-FC40D47D1385}" name="Exemplo" dataDxfId="0" dataCellStyle="Porcentagem"/>
    <tableColumn id="4" xr3:uid="{00B7456C-A06E-4A56-B84F-C2B965898A03}" name="Seleção Exemplo"/>
    <tableColumn id="5" xr3:uid="{AD5135FF-1056-4DC1-B320-D47248BC5EC1}" name="Interação Usuário"/>
    <tableColumn id="6" xr3:uid="{C17654B4-DA28-4F48-BE02-7C3EF70CF31C}" name="Dica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4D4195-FEB1-4CF9-A14B-0B4660D21F59}">
  <dimension ref="B2:G28"/>
  <sheetViews>
    <sheetView tabSelected="1" workbookViewId="0">
      <selection activeCell="G21" sqref="G21"/>
    </sheetView>
  </sheetViews>
  <sheetFormatPr defaultRowHeight="15" x14ac:dyDescent="0.25"/>
  <cols>
    <col min="3" max="3" width="30.28515625" bestFit="1" customWidth="1"/>
    <col min="4" max="4" width="22.5703125" bestFit="1" customWidth="1"/>
    <col min="5" max="5" width="18.85546875" bestFit="1" customWidth="1"/>
    <col min="6" max="6" width="74" bestFit="1" customWidth="1"/>
    <col min="7" max="7" width="115" bestFit="1" customWidth="1"/>
  </cols>
  <sheetData>
    <row r="2" spans="2:7" ht="46.5" x14ac:dyDescent="0.25">
      <c r="D2" s="1" t="s">
        <v>0</v>
      </c>
      <c r="E2" s="2"/>
      <c r="F2" s="2"/>
    </row>
    <row r="3" spans="2:7" x14ac:dyDescent="0.25">
      <c r="D3" s="3"/>
      <c r="E3" s="3"/>
      <c r="F3" s="3"/>
    </row>
    <row r="5" spans="2:7" x14ac:dyDescent="0.25">
      <c r="B5" s="4" t="s">
        <v>1</v>
      </c>
      <c r="C5" s="4" t="s">
        <v>2</v>
      </c>
      <c r="D5" s="4" t="s">
        <v>3</v>
      </c>
      <c r="E5" s="4" t="s">
        <v>4</v>
      </c>
      <c r="F5" s="4" t="s">
        <v>5</v>
      </c>
      <c r="G5" s="4" t="s">
        <v>6</v>
      </c>
    </row>
    <row r="6" spans="2:7" x14ac:dyDescent="0.25">
      <c r="B6" t="s">
        <v>7</v>
      </c>
      <c r="C6" t="s">
        <v>7</v>
      </c>
      <c r="D6" s="5">
        <v>95085</v>
      </c>
      <c r="F6" t="s">
        <v>8</v>
      </c>
      <c r="G6" t="s">
        <v>9</v>
      </c>
    </row>
    <row r="7" spans="2:7" x14ac:dyDescent="0.25">
      <c r="B7" t="s">
        <v>10</v>
      </c>
      <c r="C7" t="s">
        <v>11</v>
      </c>
      <c r="D7" s="5" cm="1">
        <f t="array" ref="D7">D6*(1-Tabela26[Pequena Monta])</f>
        <v>83864.97</v>
      </c>
      <c r="E7" t="s">
        <v>12</v>
      </c>
      <c r="F7" t="s">
        <v>13</v>
      </c>
      <c r="G7" t="s">
        <v>14</v>
      </c>
    </row>
    <row r="8" spans="2:7" x14ac:dyDescent="0.25">
      <c r="B8" t="s">
        <v>15</v>
      </c>
      <c r="C8" t="s">
        <v>16</v>
      </c>
      <c r="D8">
        <v>0.05</v>
      </c>
      <c r="F8" t="s">
        <v>8</v>
      </c>
      <c r="G8" t="s">
        <v>17</v>
      </c>
    </row>
    <row r="9" spans="2:7" x14ac:dyDescent="0.25">
      <c r="B9" t="s">
        <v>18</v>
      </c>
      <c r="C9" t="s">
        <v>19</v>
      </c>
      <c r="D9" s="5">
        <v>2000</v>
      </c>
      <c r="F9" t="s">
        <v>8</v>
      </c>
      <c r="G9" t="s">
        <v>20</v>
      </c>
    </row>
    <row r="10" spans="2:7" x14ac:dyDescent="0.25">
      <c r="B10" t="s">
        <v>21</v>
      </c>
      <c r="C10" t="s">
        <v>22</v>
      </c>
      <c r="D10" s="5">
        <f>(D7-D9)/1.05</f>
        <v>77966.638095238086</v>
      </c>
      <c r="F10" t="s">
        <v>23</v>
      </c>
    </row>
    <row r="13" spans="2:7" x14ac:dyDescent="0.25">
      <c r="B13" t="s">
        <v>24</v>
      </c>
      <c r="C13" t="s">
        <v>25</v>
      </c>
    </row>
    <row r="14" spans="2:7" x14ac:dyDescent="0.25">
      <c r="G14" t="s">
        <v>25</v>
      </c>
    </row>
    <row r="15" spans="2:7" x14ac:dyDescent="0.25">
      <c r="B15" t="s">
        <v>26</v>
      </c>
      <c r="C15" t="s">
        <v>27</v>
      </c>
      <c r="D15" t="s">
        <v>12</v>
      </c>
      <c r="E15" t="s">
        <v>28</v>
      </c>
      <c r="F15" t="s">
        <v>29</v>
      </c>
      <c r="G15" t="s">
        <v>33</v>
      </c>
    </row>
    <row r="16" spans="2:7" x14ac:dyDescent="0.25">
      <c r="C16">
        <v>5.5E-2</v>
      </c>
      <c r="D16">
        <v>0.11799999999999999</v>
      </c>
      <c r="E16">
        <v>0.17499999999999999</v>
      </c>
      <c r="F16">
        <v>5.5E-2</v>
      </c>
    </row>
    <row r="18" spans="2:7" x14ac:dyDescent="0.25">
      <c r="B18" t="s">
        <v>30</v>
      </c>
      <c r="C18" t="s">
        <v>31</v>
      </c>
      <c r="D18" t="s">
        <v>11</v>
      </c>
    </row>
    <row r="19" spans="2:7" x14ac:dyDescent="0.25">
      <c r="C19">
        <v>0</v>
      </c>
      <c r="D19" t="s">
        <v>32</v>
      </c>
    </row>
    <row r="23" spans="2:7" x14ac:dyDescent="0.25">
      <c r="B23" s="4" t="s">
        <v>1</v>
      </c>
      <c r="C23" s="4" t="s">
        <v>2</v>
      </c>
      <c r="D23" s="4" t="s">
        <v>3</v>
      </c>
      <c r="E23" s="4" t="s">
        <v>4</v>
      </c>
      <c r="F23" s="4" t="s">
        <v>5</v>
      </c>
      <c r="G23" s="4" t="s">
        <v>6</v>
      </c>
    </row>
    <row r="24" spans="2:7" x14ac:dyDescent="0.25">
      <c r="B24" t="s">
        <v>7</v>
      </c>
      <c r="C24" t="s">
        <v>7</v>
      </c>
      <c r="D24" s="5">
        <v>95085</v>
      </c>
      <c r="F24" t="s">
        <v>8</v>
      </c>
      <c r="G24" t="s">
        <v>9</v>
      </c>
    </row>
    <row r="25" spans="2:7" x14ac:dyDescent="0.25">
      <c r="B25" t="s">
        <v>10</v>
      </c>
      <c r="C25" t="s">
        <v>11</v>
      </c>
      <c r="D25" s="5">
        <v>50000</v>
      </c>
      <c r="E25" t="s">
        <v>12</v>
      </c>
      <c r="F25" t="s">
        <v>13</v>
      </c>
      <c r="G25" t="s">
        <v>14</v>
      </c>
    </row>
    <row r="26" spans="2:7" x14ac:dyDescent="0.25">
      <c r="B26" t="s">
        <v>15</v>
      </c>
      <c r="C26" t="s">
        <v>16</v>
      </c>
      <c r="D26">
        <v>0.05</v>
      </c>
      <c r="F26" t="s">
        <v>8</v>
      </c>
      <c r="G26" t="s">
        <v>17</v>
      </c>
    </row>
    <row r="27" spans="2:7" x14ac:dyDescent="0.25">
      <c r="B27" t="s">
        <v>18</v>
      </c>
      <c r="C27" t="s">
        <v>19</v>
      </c>
      <c r="D27" s="5">
        <v>1000</v>
      </c>
      <c r="F27" t="s">
        <v>8</v>
      </c>
      <c r="G27" t="s">
        <v>20</v>
      </c>
    </row>
    <row r="28" spans="2:7" x14ac:dyDescent="0.25">
      <c r="B28" t="s">
        <v>21</v>
      </c>
      <c r="C28" t="s">
        <v>22</v>
      </c>
      <c r="D28" s="5">
        <f>(D25-D27)/1.05</f>
        <v>46666.666666666664</v>
      </c>
      <c r="F28" t="s">
        <v>23</v>
      </c>
    </row>
  </sheetData>
  <pageMargins left="0.511811024" right="0.511811024" top="0.78740157499999996" bottom="0.78740157499999996" header="0.31496062000000002" footer="0.31496062000000002"/>
  <drawing r:id="rId1"/>
  <tableParts count="4">
    <tablePart r:id="rId2"/>
    <tablePart r:id="rId3"/>
    <tablePart r:id="rId4"/>
    <tablePart r:id="rId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CalcSimples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Vinicius Campos</dc:creator>
  <cp:lastModifiedBy>Rafael Neto</cp:lastModifiedBy>
  <dcterms:created xsi:type="dcterms:W3CDTF">2025-03-27T12:09:02Z</dcterms:created>
  <dcterms:modified xsi:type="dcterms:W3CDTF">2025-04-09T01:59:46Z</dcterms:modified>
</cp:coreProperties>
</file>